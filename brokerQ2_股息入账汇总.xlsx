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息入账汇总" sheetId="1" state="visible" r:id="rId1"/>
  </sheets>
  <definedNames>
    <definedName name="_xlnm._FilterDatabase" localSheetId="0" hidden="1">'股息入账汇总'!$A$1:$U$7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9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5B21B6"/>
      </patternFill>
    </fill>
    <fill>
      <patternFill patternType="solid">
        <fgColor rgb="006D28D9"/>
      </patternFill>
    </fill>
    <fill>
      <patternFill patternType="solid">
        <fgColor rgb="007C3AED"/>
      </patternFill>
    </fill>
    <fill>
      <patternFill patternType="solid">
        <fgColor rgb="008B5CF6"/>
      </patternFill>
    </fill>
    <fill>
      <patternFill patternType="solid">
        <fgColor rgb="00F8F7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right" vertical="center"/>
    </xf>
    <xf numFmtId="0" fontId="2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10" customWidth="1" min="4" max="4"/>
    <col width="8" customWidth="1" min="5" max="5"/>
    <col width="9" customWidth="1" min="6" max="6"/>
    <col width="9" customWidth="1" min="7" max="7"/>
    <col width="8" customWidth="1" min="8" max="8"/>
    <col width="8" customWidth="1" min="9" max="9"/>
    <col width="12" customWidth="1" min="10" max="10"/>
    <col width="8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11" customWidth="1" min="19" max="19"/>
    <col width="15" customWidth="1" min="20" max="20"/>
    <col width="8" customWidth="1" min="21" max="21"/>
  </cols>
  <sheetData>
    <row r="1" ht="28" customHeight="1">
      <c r="A1" s="1" t="inlineStr">
        <is>
          <t>币种</t>
        </is>
      </c>
      <c r="B1" s="2" t="inlineStr">
        <is>
          <t>证券名称</t>
        </is>
      </c>
      <c r="C1" s="3" t="inlineStr">
        <is>
          <t>成交日期</t>
        </is>
      </c>
      <c r="D1" s="4" t="inlineStr">
        <is>
          <t>成交价格</t>
        </is>
      </c>
      <c r="E1" s="5" t="inlineStr">
        <is>
          <t>成交数量</t>
        </is>
      </c>
      <c r="F1" s="1" t="inlineStr">
        <is>
          <t>发生金额</t>
        </is>
      </c>
      <c r="G1" s="2" t="inlineStr">
        <is>
          <t>资金余额</t>
        </is>
      </c>
      <c r="H1" s="3" t="inlineStr">
        <is>
          <t>剩余数量</t>
        </is>
      </c>
      <c r="I1" s="4" t="inlineStr">
        <is>
          <t>合同编号</t>
        </is>
      </c>
      <c r="J1" s="5" t="inlineStr">
        <is>
          <t>流水号</t>
        </is>
      </c>
      <c r="K1" s="1" t="inlineStr">
        <is>
          <t>业务名称</t>
        </is>
      </c>
      <c r="L1" s="2" t="inlineStr">
        <is>
          <t>印花税</t>
        </is>
      </c>
      <c r="M1" s="3" t="inlineStr">
        <is>
          <t>佣金</t>
        </is>
      </c>
      <c r="N1" s="4" t="inlineStr">
        <is>
          <t>经手费</t>
        </is>
      </c>
      <c r="O1" s="5" t="inlineStr">
        <is>
          <t>证管费</t>
        </is>
      </c>
      <c r="P1" s="1" t="inlineStr">
        <is>
          <t>结算费</t>
        </is>
      </c>
      <c r="Q1" s="2" t="inlineStr">
        <is>
          <t>过户费</t>
        </is>
      </c>
      <c r="R1" s="3" t="inlineStr">
        <is>
          <t>其他费用</t>
        </is>
      </c>
      <c r="S1" s="4" t="inlineStr">
        <is>
          <t>证券代码</t>
        </is>
      </c>
      <c r="T1" s="5" t="inlineStr">
        <is>
          <t>股东代码</t>
        </is>
      </c>
      <c r="U1" s="1" t="inlineStr">
        <is>
          <t>备注</t>
        </is>
      </c>
    </row>
    <row r="2" ht="22" customHeight="1">
      <c r="A2" s="6" t="inlineStr">
        <is>
          <t>人民币</t>
        </is>
      </c>
      <c r="B2" s="6" t="inlineStr">
        <is>
          <t>中银航空租赁</t>
        </is>
      </c>
      <c r="C2" s="7" t="inlineStr">
        <is>
          <t>20260625</t>
        </is>
      </c>
      <c r="D2" s="6" t="inlineStr">
        <is>
          <t>港币0.3061</t>
        </is>
      </c>
      <c r="E2" s="6">
        <f>"0"</f>
        <v/>
      </c>
      <c r="F2" s="7" t="inlineStr">
        <is>
          <t>1871.81</t>
        </is>
      </c>
      <c r="G2" s="7" t="inlineStr">
        <is>
          <t>1966.05</t>
        </is>
      </c>
      <c r="H2" s="7" t="inlineStr">
        <is>
          <t>900</t>
        </is>
      </c>
      <c r="I2" s="6">
        <f>"0"</f>
        <v/>
      </c>
      <c r="J2" s="7" t="inlineStr">
        <is>
          <t>3200002060</t>
        </is>
      </c>
      <c r="K2" s="6" t="inlineStr">
        <is>
          <t>股息入账</t>
        </is>
      </c>
      <c r="L2" s="6">
        <f>"0.00"</f>
        <v/>
      </c>
      <c r="M2" s="6">
        <f>"0.00"</f>
        <v/>
      </c>
      <c r="N2" s="6" t="inlineStr">
        <is>
          <t>---</t>
        </is>
      </c>
      <c r="O2" s="6" t="inlineStr">
        <is>
          <t>---</t>
        </is>
      </c>
      <c r="P2" s="6" t="inlineStr">
        <is>
          <t>---</t>
        </is>
      </c>
      <c r="Q2" s="6" t="inlineStr">
        <is>
          <t>---</t>
        </is>
      </c>
      <c r="R2" s="6">
        <f>"0.00"</f>
        <v/>
      </c>
      <c r="S2" s="6">
        <f>"02588"</f>
        <v/>
      </c>
      <c r="T2" s="6">
        <f>"0800300405"</f>
        <v/>
      </c>
      <c r="U2" s="7" t="n"/>
    </row>
    <row r="3" ht="22" customHeight="1">
      <c r="A3" s="8" t="inlineStr">
        <is>
          <t>人民币</t>
        </is>
      </c>
      <c r="B3" s="8" t="inlineStr">
        <is>
          <t>工商银行</t>
        </is>
      </c>
      <c r="C3" s="9" t="inlineStr">
        <is>
          <t>20260617</t>
        </is>
      </c>
      <c r="D3" s="8" t="inlineStr">
        <is>
          <t>港币0.1689</t>
        </is>
      </c>
      <c r="E3" s="8">
        <f>"0"</f>
        <v/>
      </c>
      <c r="F3" s="9" t="inlineStr">
        <is>
          <t>1013.40</t>
        </is>
      </c>
      <c r="G3" s="9" t="inlineStr">
        <is>
          <t>1015.10</t>
        </is>
      </c>
      <c r="H3" s="9" t="inlineStr">
        <is>
          <t>6000</t>
        </is>
      </c>
      <c r="I3" s="8">
        <f>"0"</f>
        <v/>
      </c>
      <c r="J3" s="9" t="inlineStr">
        <is>
          <t>3200001767</t>
        </is>
      </c>
      <c r="K3" s="8" t="inlineStr">
        <is>
          <t>股息入账</t>
        </is>
      </c>
      <c r="L3" s="8">
        <f>"0.00"</f>
        <v/>
      </c>
      <c r="M3" s="8">
        <f>"0.00"</f>
        <v/>
      </c>
      <c r="N3" s="8" t="inlineStr">
        <is>
          <t>---</t>
        </is>
      </c>
      <c r="O3" s="8" t="inlineStr">
        <is>
          <t>---</t>
        </is>
      </c>
      <c r="P3" s="8" t="inlineStr">
        <is>
          <t>---</t>
        </is>
      </c>
      <c r="Q3" s="8" t="inlineStr">
        <is>
          <t>---</t>
        </is>
      </c>
      <c r="R3" s="8">
        <f>"0.00"</f>
        <v/>
      </c>
      <c r="S3" s="8">
        <f>"01398"</f>
        <v/>
      </c>
      <c r="T3" s="8">
        <f>"0800300405"</f>
        <v/>
      </c>
      <c r="U3" s="9" t="n"/>
    </row>
    <row r="4" ht="22" customHeight="1">
      <c r="A4" s="6" t="inlineStr">
        <is>
          <t>人民币</t>
        </is>
      </c>
      <c r="B4" s="6" t="inlineStr">
        <is>
          <t>长和</t>
        </is>
      </c>
      <c r="C4" s="7" t="inlineStr">
        <is>
          <t>20260612</t>
        </is>
      </c>
      <c r="D4" s="6" t="inlineStr">
        <is>
          <t>港币0.0000</t>
        </is>
      </c>
      <c r="E4" s="6">
        <f>"0"</f>
        <v/>
      </c>
      <c r="F4" s="7" t="inlineStr">
        <is>
          <t>1381.08</t>
        </is>
      </c>
      <c r="G4" s="7" t="inlineStr">
        <is>
          <t>2940.39</t>
        </is>
      </c>
      <c r="H4" s="7" t="inlineStr">
        <is>
          <t>1000</t>
        </is>
      </c>
      <c r="I4" s="6">
        <f>"0"</f>
        <v/>
      </c>
      <c r="J4" s="7" t="inlineStr">
        <is>
          <t>3200001863</t>
        </is>
      </c>
      <c r="K4" s="6" t="inlineStr">
        <is>
          <t>股息入账</t>
        </is>
      </c>
      <c r="L4" s="6">
        <f>"0.00"</f>
        <v/>
      </c>
      <c r="M4" s="6">
        <f>"0.00"</f>
        <v/>
      </c>
      <c r="N4" s="6" t="inlineStr">
        <is>
          <t>---</t>
        </is>
      </c>
      <c r="O4" s="6" t="inlineStr">
        <is>
          <t>---</t>
        </is>
      </c>
      <c r="P4" s="6" t="inlineStr">
        <is>
          <t>---</t>
        </is>
      </c>
      <c r="Q4" s="6" t="inlineStr">
        <is>
          <t>---</t>
        </is>
      </c>
      <c r="R4" s="6">
        <f>"0.00"</f>
        <v/>
      </c>
      <c r="S4" s="6">
        <f>"00001"</f>
        <v/>
      </c>
      <c r="T4" s="6" t="inlineStr">
        <is>
          <t>B880865174</t>
        </is>
      </c>
      <c r="U4" s="7" t="n"/>
    </row>
    <row r="5" ht="22" customHeight="1">
      <c r="A5" s="8" t="inlineStr">
        <is>
          <t>人民币</t>
        </is>
      </c>
      <c r="B5" s="8" t="inlineStr">
        <is>
          <t>长实集团</t>
        </is>
      </c>
      <c r="C5" s="9" t="inlineStr">
        <is>
          <t>20260612</t>
        </is>
      </c>
      <c r="D5" s="8" t="inlineStr">
        <is>
          <t>港币0.0000</t>
        </is>
      </c>
      <c r="E5" s="8">
        <f>"0"</f>
        <v/>
      </c>
      <c r="F5" s="9" t="inlineStr">
        <is>
          <t>1198.31</t>
        </is>
      </c>
      <c r="G5" s="9" t="inlineStr">
        <is>
          <t>1559.31</t>
        </is>
      </c>
      <c r="H5" s="9" t="inlineStr">
        <is>
          <t>1000</t>
        </is>
      </c>
      <c r="I5" s="8">
        <f>"0"</f>
        <v/>
      </c>
      <c r="J5" s="9" t="inlineStr">
        <is>
          <t>3200001862</t>
        </is>
      </c>
      <c r="K5" s="8" t="inlineStr">
        <is>
          <t>股息入账</t>
        </is>
      </c>
      <c r="L5" s="8">
        <f>"0.00"</f>
        <v/>
      </c>
      <c r="M5" s="8">
        <f>"0.00"</f>
        <v/>
      </c>
      <c r="N5" s="8" t="inlineStr">
        <is>
          <t>---</t>
        </is>
      </c>
      <c r="O5" s="8" t="inlineStr">
        <is>
          <t>---</t>
        </is>
      </c>
      <c r="P5" s="8" t="inlineStr">
        <is>
          <t>---</t>
        </is>
      </c>
      <c r="Q5" s="8" t="inlineStr">
        <is>
          <t>---</t>
        </is>
      </c>
      <c r="R5" s="8">
        <f>"0.00"</f>
        <v/>
      </c>
      <c r="S5" s="8">
        <f>"01113"</f>
        <v/>
      </c>
      <c r="T5" s="8" t="inlineStr">
        <is>
          <t>B880865174</t>
        </is>
      </c>
      <c r="U5" s="9" t="n"/>
    </row>
    <row r="6" ht="22" customHeight="1">
      <c r="A6" s="6" t="inlineStr">
        <is>
          <t>人民币</t>
        </is>
      </c>
      <c r="B6" s="6" t="inlineStr">
        <is>
          <t>平安银行</t>
        </is>
      </c>
      <c r="C6" s="7" t="inlineStr">
        <is>
          <t>20260611</t>
        </is>
      </c>
      <c r="D6" s="6" t="inlineStr">
        <is>
          <t>11.3000</t>
        </is>
      </c>
      <c r="E6" s="6">
        <f>"0"</f>
        <v/>
      </c>
      <c r="F6" s="7" t="inlineStr">
        <is>
          <t>360.00</t>
        </is>
      </c>
      <c r="G6" s="7" t="inlineStr">
        <is>
          <t>361.72</t>
        </is>
      </c>
      <c r="H6" s="7" t="inlineStr">
        <is>
          <t>1000</t>
        </is>
      </c>
      <c r="I6" s="6">
        <f>"0"</f>
        <v/>
      </c>
      <c r="J6" s="7" t="inlineStr">
        <is>
          <t>3200000061</t>
        </is>
      </c>
      <c r="K6" s="6" t="inlineStr">
        <is>
          <t>股息入账</t>
        </is>
      </c>
      <c r="L6" s="6">
        <f>"0.00"</f>
        <v/>
      </c>
      <c r="M6" s="6">
        <f>"0.00"</f>
        <v/>
      </c>
      <c r="N6" s="6">
        <f>"0.00"</f>
        <v/>
      </c>
      <c r="O6" s="6">
        <f>"0.00"</f>
        <v/>
      </c>
      <c r="P6" s="6">
        <f>"0.00"</f>
        <v/>
      </c>
      <c r="Q6" s="6">
        <f>"0.00"</f>
        <v/>
      </c>
      <c r="R6" s="6">
        <f>"0.00"</f>
        <v/>
      </c>
      <c r="S6" s="6">
        <f>"000001"</f>
        <v/>
      </c>
      <c r="T6" s="6">
        <f>"0800300405"</f>
        <v/>
      </c>
      <c r="U6" s="7" t="n"/>
    </row>
    <row r="7" ht="22" customHeight="1">
      <c r="A7" s="8" t="inlineStr">
        <is>
          <t>人民币</t>
        </is>
      </c>
      <c r="B7" s="8" t="inlineStr">
        <is>
          <t>顺丰控股</t>
        </is>
      </c>
      <c r="C7" s="9" t="inlineStr">
        <is>
          <t>20260605</t>
        </is>
      </c>
      <c r="D7" s="8" t="inlineStr">
        <is>
          <t>港币0.4300</t>
        </is>
      </c>
      <c r="E7" s="8">
        <f>"0"</f>
        <v/>
      </c>
      <c r="F7" s="9" t="inlineStr">
        <is>
          <t>1118.00</t>
        </is>
      </c>
      <c r="G7" s="9" t="inlineStr">
        <is>
          <t>1193.69</t>
        </is>
      </c>
      <c r="H7" s="9" t="inlineStr">
        <is>
          <t>2600</t>
        </is>
      </c>
      <c r="I7" s="8">
        <f>"0"</f>
        <v/>
      </c>
      <c r="J7" s="9" t="inlineStr">
        <is>
          <t>3200006265</t>
        </is>
      </c>
      <c r="K7" s="8" t="inlineStr">
        <is>
          <t>股息入账</t>
        </is>
      </c>
      <c r="L7" s="8">
        <f>"0.00"</f>
        <v/>
      </c>
      <c r="M7" s="8">
        <f>"0.00"</f>
        <v/>
      </c>
      <c r="N7" s="8" t="inlineStr">
        <is>
          <t>---</t>
        </is>
      </c>
      <c r="O7" s="8" t="inlineStr">
        <is>
          <t>---</t>
        </is>
      </c>
      <c r="P7" s="8" t="inlineStr">
        <is>
          <t>---</t>
        </is>
      </c>
      <c r="Q7" s="8" t="inlineStr">
        <is>
          <t>---</t>
        </is>
      </c>
      <c r="R7" s="8">
        <f>"0.00"</f>
        <v/>
      </c>
      <c r="S7" s="8">
        <f>"06936"</f>
        <v/>
      </c>
      <c r="T7" s="8">
        <f>"0800300405"</f>
        <v/>
      </c>
      <c r="U7" s="9" t="n"/>
    </row>
  </sheetData>
  <autoFilter ref="A1:U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2026-06-25T14:12:31Z</dcterms:created>
  <dcterms:modified xmlns:dcterms="http://purl.org/dc/terms/" xmlns:xsi="http://www.w3.org/2001/XMLSchema-instance" xsi:type="dcterms:W3CDTF">2026-06-25T14:12:31Z</dcterms:modified>
</cp:coreProperties>
</file>